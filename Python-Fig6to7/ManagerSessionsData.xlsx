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belle/Documents/Quantifying Data for Extreme Low Inflow and Extreme Low Storage Storage Scenarios for Lake Mead/ImmersiveModelSessionData/ManagerSessionData-Updated-8-4-26 /"/>
    </mc:Choice>
  </mc:AlternateContent>
  <xr:revisionPtr revIDLastSave="0" documentId="13_ncr:1_{E49F069D-1497-994A-9229-97D7B8DDCBE2}" xr6:coauthVersionLast="47" xr6:coauthVersionMax="47" xr10:uidLastSave="{00000000-0000-0000-0000-000000000000}"/>
  <bookViews>
    <workbookView xWindow="0" yWindow="500" windowWidth="28800" windowHeight="17500" xr2:uid="{AB918D16-D3B7-EB42-8D76-4088090A27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  <c r="F48" i="1"/>
  <c r="D48" i="1"/>
  <c r="E3" i="1"/>
  <c r="F42" i="1"/>
  <c r="F45" i="1" s="1"/>
  <c r="G42" i="1"/>
  <c r="F33" i="1"/>
  <c r="F36" i="1" s="1"/>
  <c r="G9" i="1"/>
  <c r="G12" i="1" s="1"/>
  <c r="G15" i="1" s="1"/>
  <c r="G18" i="1" s="1"/>
  <c r="G21" i="1" s="1"/>
  <c r="G3" i="1"/>
  <c r="F3" i="1"/>
  <c r="F6" i="1" s="1"/>
  <c r="F9" i="1" s="1"/>
  <c r="F12" i="1" s="1"/>
  <c r="F15" i="1" s="1"/>
  <c r="F18" i="1" s="1"/>
  <c r="F21" i="1" s="1"/>
  <c r="F24" i="1" s="1"/>
  <c r="F27" i="1" s="1"/>
  <c r="E6" i="1"/>
  <c r="E9" i="1" s="1"/>
  <c r="E12" i="1" s="1"/>
  <c r="E15" i="1" s="1"/>
  <c r="E18" i="1" s="1"/>
  <c r="E21" i="1" s="1"/>
  <c r="E24" i="1" s="1"/>
  <c r="E27" i="1" s="1"/>
  <c r="E30" i="1" s="1"/>
  <c r="E33" i="1" s="1"/>
  <c r="E36" i="1" s="1"/>
  <c r="E39" i="1" s="1"/>
  <c r="E42" i="1" s="1"/>
  <c r="E45" i="1" s="1"/>
  <c r="D3" i="1"/>
  <c r="D6" i="1" s="1"/>
  <c r="D9" i="1" s="1"/>
  <c r="D12" i="1" s="1"/>
  <c r="D15" i="1" s="1"/>
  <c r="D18" i="1" s="1"/>
  <c r="D21" i="1" s="1"/>
  <c r="D24" i="1" s="1"/>
  <c r="D27" i="1" s="1"/>
  <c r="D30" i="1" s="1"/>
  <c r="D33" i="1" s="1"/>
  <c r="D36" i="1" s="1"/>
  <c r="D39" i="1" s="1"/>
  <c r="D42" i="1" s="1"/>
  <c r="D45" i="1" s="1"/>
</calcChain>
</file>

<file path=xl/sharedStrings.xml><?xml version="1.0" encoding="utf-8"?>
<sst xmlns="http://schemas.openxmlformats.org/spreadsheetml/2006/main" count="71" uniqueCount="26">
  <si>
    <t>Session</t>
  </si>
  <si>
    <t>Element to
protect</t>
  </si>
  <si>
    <t>Set to Protect</t>
  </si>
  <si>
    <t>Year 1
3.8 (maf)</t>
  </si>
  <si>
    <t>Year 2
6.3 (maf)</t>
  </si>
  <si>
    <t>Year 3
4.0 (maf)</t>
  </si>
  <si>
    <t>End of
 Year 3</t>
  </si>
  <si>
    <t>Storage</t>
  </si>
  <si>
    <t>Storage/Protect</t>
  </si>
  <si>
    <t>Elevation</t>
  </si>
  <si>
    <t>2025-8-5</t>
  </si>
  <si>
    <t>2025-8-20</t>
  </si>
  <si>
    <t>2025-11-17</t>
  </si>
  <si>
    <t>2026-3-17</t>
  </si>
  <si>
    <t>2026-3-27</t>
  </si>
  <si>
    <t>2026-6-15</t>
  </si>
  <si>
    <t>2026-4-23</t>
  </si>
  <si>
    <t>2026-7-15</t>
  </si>
  <si>
    <t>2026-7-8</t>
  </si>
  <si>
    <t>2026-4-22</t>
  </si>
  <si>
    <t>2026-6-23</t>
  </si>
  <si>
    <t>2025-5-22</t>
  </si>
  <si>
    <t>2025-8-18</t>
  </si>
  <si>
    <t>2026-7-20</t>
  </si>
  <si>
    <t>2026-7-30</t>
  </si>
  <si>
    <t>2025-10-27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</si>
</sst>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1" xfId="0" applyFont="1" applyFill="1" applyBorder="1"/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2" fillId="3" borderId="3" xfId="0" applyFont="1" applyFill="1" applyBorder="1"/>
    <xf numFmtId="0" fontId="0" fillId="3" borderId="3" xfId="0" applyFill="1" applyBorder="1" applyAlignment="1">
      <alignment horizontal="center"/>
    </xf>
    <xf numFmtId="0" fontId="2" fillId="3" borderId="4" xfId="0" applyFont="1" applyFill="1" applyBorder="1"/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0" fontId="2" fillId="3" borderId="7" xfId="0" applyFont="1" applyFill="1" applyBorder="1"/>
    <xf numFmtId="0" fontId="0" fillId="3" borderId="7" xfId="0" applyFill="1" applyBorder="1" applyAlignment="1">
      <alignment horizontal="center"/>
    </xf>
    <xf numFmtId="4" fontId="0" fillId="3" borderId="7" xfId="0" applyNumberFormat="1" applyFill="1" applyBorder="1" applyAlignment="1">
      <alignment horizontal="center"/>
    </xf>
    <xf numFmtId="4" fontId="0" fillId="3" borderId="8" xfId="0" applyNumberFormat="1" applyFill="1" applyBorder="1" applyAlignment="1">
      <alignment horizontal="center"/>
    </xf>
    <xf numFmtId="0" fontId="2" fillId="3" borderId="2" xfId="0" applyFont="1" applyFill="1" applyBorder="1"/>
    <xf numFmtId="0" fontId="0" fillId="3" borderId="2" xfId="0" applyFill="1" applyBorder="1" applyAlignment="1">
      <alignment horizontal="center"/>
    </xf>
    <xf numFmtId="4" fontId="0" fillId="3" borderId="2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4" fontId="0" fillId="3" borderId="4" xfId="0" applyNumberFormat="1" applyFill="1" applyBorder="1" applyAlignment="1">
      <alignment horizontal="center"/>
    </xf>
    <xf numFmtId="4" fontId="0" fillId="3" borderId="5" xfId="0" applyNumberFormat="1" applyFill="1" applyBorder="1" applyAlignment="1">
      <alignment horizontal="center"/>
    </xf>
    <xf numFmtId="4" fontId="0" fillId="3" borderId="6" xfId="0" applyNumberForma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0" fillId="3" borderId="1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4" fontId="0" fillId="3" borderId="15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49" fontId="0" fillId="3" borderId="9" xfId="0" applyNumberFormat="1" applyFill="1" applyBorder="1" applyAlignment="1">
      <alignment horizontal="center"/>
    </xf>
    <xf numFmtId="49" fontId="0" fillId="3" borderId="10" xfId="0" applyNumberFormat="1" applyFill="1" applyBorder="1" applyAlignment="1">
      <alignment horizontal="center"/>
    </xf>
    <xf numFmtId="49" fontId="0" fillId="3" borderId="1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A0C1-1E4D-3946-A30D-FCEEAEABD221}">
  <dimension ref="A1:G49"/>
  <sheetViews>
    <sheetView tabSelected="1" topLeftCell="A4" zoomScale="170" zoomScaleNormal="170" workbookViewId="0">
      <selection activeCell="I48" sqref="I48"/>
    </sheetView>
  </sheetViews>
  <sheetFormatPr baseColWidth="10" defaultRowHeight="16" x14ac:dyDescent="0.2"/>
  <cols>
    <col min="1" max="1" width="12.33203125" customWidth="1"/>
  </cols>
  <sheetData>
    <row r="1" spans="1:7" ht="35" thickBot="1" x14ac:dyDescent="0.25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5" t="s">
        <v>6</v>
      </c>
    </row>
    <row r="2" spans="1:7" x14ac:dyDescent="0.2">
      <c r="A2" s="34" t="s">
        <v>21</v>
      </c>
      <c r="B2" s="8" t="s">
        <v>7</v>
      </c>
      <c r="C2" s="9">
        <v>4.5</v>
      </c>
      <c r="D2" s="9">
        <v>7.5</v>
      </c>
      <c r="E2" s="9">
        <v>4.8</v>
      </c>
      <c r="F2" s="9">
        <v>4.9000000000000004</v>
      </c>
      <c r="G2" s="10">
        <v>3.9</v>
      </c>
    </row>
    <row r="3" spans="1:7" x14ac:dyDescent="0.2">
      <c r="A3" s="35"/>
      <c r="B3" s="1" t="s">
        <v>8</v>
      </c>
      <c r="C3" s="3"/>
      <c r="D3" s="3">
        <f>D2/$C$2</f>
        <v>1.6666666666666667</v>
      </c>
      <c r="E3" s="3">
        <f>E2/$C$2</f>
        <v>1.0666666666666667</v>
      </c>
      <c r="F3" s="3">
        <f>F2/$C$2</f>
        <v>1.088888888888889</v>
      </c>
      <c r="G3" s="11">
        <f>G2/$C$2</f>
        <v>0.8666666666666667</v>
      </c>
    </row>
    <row r="4" spans="1:7" ht="17" thickBot="1" x14ac:dyDescent="0.25">
      <c r="A4" s="36"/>
      <c r="B4" s="12" t="s">
        <v>9</v>
      </c>
      <c r="C4" s="13">
        <v>1000</v>
      </c>
      <c r="D4" s="14">
        <v>1048</v>
      </c>
      <c r="E4" s="14">
        <v>1004.5</v>
      </c>
      <c r="F4" s="14">
        <v>1006.5</v>
      </c>
      <c r="G4" s="15">
        <v>989.5</v>
      </c>
    </row>
    <row r="5" spans="1:7" x14ac:dyDescent="0.2">
      <c r="A5" s="34" t="s">
        <v>10</v>
      </c>
      <c r="B5" s="6" t="s">
        <v>7</v>
      </c>
      <c r="C5" s="7">
        <v>2.9</v>
      </c>
      <c r="D5" s="7">
        <v>8</v>
      </c>
      <c r="E5" s="7">
        <v>5.5</v>
      </c>
      <c r="F5" s="7">
        <v>7.2</v>
      </c>
      <c r="G5" s="26"/>
    </row>
    <row r="6" spans="1:7" x14ac:dyDescent="0.2">
      <c r="A6" s="35"/>
      <c r="B6" s="1" t="s">
        <v>8</v>
      </c>
      <c r="C6" s="2"/>
      <c r="D6" s="3">
        <f>D5/$C$5</f>
        <v>2.7586206896551726</v>
      </c>
      <c r="E6" s="3">
        <f>E5/$C$5</f>
        <v>1.896551724137931</v>
      </c>
      <c r="F6" s="3">
        <f>F5/$C$5</f>
        <v>2.4827586206896552</v>
      </c>
      <c r="G6" s="27"/>
    </row>
    <row r="7" spans="1:7" ht="17" thickBot="1" x14ac:dyDescent="0.25">
      <c r="A7" s="36"/>
      <c r="B7" s="16" t="s">
        <v>9</v>
      </c>
      <c r="C7" s="17">
        <v>970</v>
      </c>
      <c r="D7" s="18">
        <v>1054.0999999999999</v>
      </c>
      <c r="E7" s="18">
        <v>1016.5</v>
      </c>
      <c r="F7" s="18">
        <v>1043.5</v>
      </c>
      <c r="G7" s="28"/>
    </row>
    <row r="8" spans="1:7" x14ac:dyDescent="0.2">
      <c r="A8" s="34" t="s">
        <v>22</v>
      </c>
      <c r="B8" s="8" t="s">
        <v>7</v>
      </c>
      <c r="C8" s="9">
        <v>6.3</v>
      </c>
      <c r="D8" s="9">
        <v>8.6999999999999993</v>
      </c>
      <c r="E8" s="9">
        <v>7.7</v>
      </c>
      <c r="F8" s="9">
        <v>8.4</v>
      </c>
      <c r="G8" s="10">
        <v>8.3000000000000007</v>
      </c>
    </row>
    <row r="9" spans="1:7" x14ac:dyDescent="0.2">
      <c r="A9" s="35"/>
      <c r="B9" s="1" t="s">
        <v>8</v>
      </c>
      <c r="C9" s="2"/>
      <c r="D9" s="5">
        <f>D8/$C$8</f>
        <v>1.3809523809523809</v>
      </c>
      <c r="E9" s="5">
        <f>E8/$C$8</f>
        <v>1.2222222222222223</v>
      </c>
      <c r="F9" s="5">
        <f>F8/$C$8</f>
        <v>1.3333333333333335</v>
      </c>
      <c r="G9" s="19">
        <f>G8/$C$8</f>
        <v>1.3174603174603177</v>
      </c>
    </row>
    <row r="10" spans="1:7" ht="17" thickBot="1" x14ac:dyDescent="0.25">
      <c r="A10" s="36"/>
      <c r="B10" s="12" t="s">
        <v>9</v>
      </c>
      <c r="C10" s="13">
        <v>1030</v>
      </c>
      <c r="D10" s="14">
        <v>1063.3</v>
      </c>
      <c r="E10" s="14">
        <v>1050.5</v>
      </c>
      <c r="F10" s="14">
        <v>1059.5</v>
      </c>
      <c r="G10" s="15">
        <v>1058</v>
      </c>
    </row>
    <row r="11" spans="1:7" x14ac:dyDescent="0.2">
      <c r="A11" s="34" t="s">
        <v>11</v>
      </c>
      <c r="B11" s="6" t="s">
        <v>7</v>
      </c>
      <c r="C11" s="7">
        <v>3.2</v>
      </c>
      <c r="D11" s="7">
        <v>6</v>
      </c>
      <c r="E11" s="7">
        <v>3.9</v>
      </c>
      <c r="F11" s="7">
        <v>4.5999999999999996</v>
      </c>
      <c r="G11" s="26">
        <v>4.4000000000000004</v>
      </c>
    </row>
    <row r="12" spans="1:7" x14ac:dyDescent="0.2">
      <c r="A12" s="35"/>
      <c r="B12" s="1" t="s">
        <v>8</v>
      </c>
      <c r="C12" s="2"/>
      <c r="D12" s="3">
        <f>D11/$C$11</f>
        <v>1.875</v>
      </c>
      <c r="E12" s="3">
        <f>E11/$C$11</f>
        <v>1.21875</v>
      </c>
      <c r="F12" s="3">
        <f>F11/$C$11</f>
        <v>1.4374999999999998</v>
      </c>
      <c r="G12" s="11">
        <f>G11/$C$11</f>
        <v>1.375</v>
      </c>
    </row>
    <row r="13" spans="1:7" ht="17" thickBot="1" x14ac:dyDescent="0.25">
      <c r="A13" s="36"/>
      <c r="B13" s="16" t="s">
        <v>9</v>
      </c>
      <c r="C13" s="17">
        <v>975</v>
      </c>
      <c r="D13" s="18">
        <v>1025</v>
      </c>
      <c r="E13" s="18">
        <v>988.5</v>
      </c>
      <c r="F13" s="18">
        <v>1001.5</v>
      </c>
      <c r="G13" s="28">
        <v>998.5</v>
      </c>
    </row>
    <row r="14" spans="1:7" x14ac:dyDescent="0.2">
      <c r="A14" s="34" t="s">
        <v>25</v>
      </c>
      <c r="B14" s="8" t="s">
        <v>7</v>
      </c>
      <c r="C14" s="9">
        <v>4.5</v>
      </c>
      <c r="D14" s="20">
        <v>6</v>
      </c>
      <c r="E14" s="20">
        <v>5.5</v>
      </c>
      <c r="F14" s="20">
        <v>6.4</v>
      </c>
      <c r="G14" s="21">
        <v>5.9</v>
      </c>
    </row>
    <row r="15" spans="1:7" x14ac:dyDescent="0.2">
      <c r="A15" s="35"/>
      <c r="B15" s="1" t="s">
        <v>8</v>
      </c>
      <c r="C15" s="2"/>
      <c r="D15" s="4">
        <f>D14/$C$14</f>
        <v>1.3333333333333333</v>
      </c>
      <c r="E15" s="4">
        <f>E14/$C$14</f>
        <v>1.2222222222222223</v>
      </c>
      <c r="F15" s="4">
        <f>F14/$C$14</f>
        <v>1.4222222222222223</v>
      </c>
      <c r="G15" s="22">
        <f>G14/$C$14</f>
        <v>1.3111111111111111</v>
      </c>
    </row>
    <row r="16" spans="1:7" ht="17" thickBot="1" x14ac:dyDescent="0.25">
      <c r="A16" s="36"/>
      <c r="B16" s="12" t="s">
        <v>9</v>
      </c>
      <c r="C16" s="13">
        <v>1000</v>
      </c>
      <c r="D16" s="14">
        <v>1025</v>
      </c>
      <c r="E16" s="14">
        <v>1017</v>
      </c>
      <c r="F16" s="14">
        <v>1030.5</v>
      </c>
      <c r="G16" s="15">
        <v>1024</v>
      </c>
    </row>
    <row r="17" spans="1:7" x14ac:dyDescent="0.2">
      <c r="A17" s="34" t="s">
        <v>12</v>
      </c>
      <c r="B17" s="8" t="s">
        <v>7</v>
      </c>
      <c r="C17" s="9">
        <v>6</v>
      </c>
      <c r="D17" s="9">
        <v>6</v>
      </c>
      <c r="E17" s="9">
        <v>6.1</v>
      </c>
      <c r="F17" s="9">
        <v>6.7</v>
      </c>
      <c r="G17" s="10">
        <v>6.4</v>
      </c>
    </row>
    <row r="18" spans="1:7" x14ac:dyDescent="0.2">
      <c r="A18" s="35"/>
      <c r="B18" s="1" t="s">
        <v>8</v>
      </c>
      <c r="C18" s="2"/>
      <c r="D18" s="4">
        <f>D17/$C$17</f>
        <v>1</v>
      </c>
      <c r="E18" s="4">
        <f>E17/$C$17</f>
        <v>1.0166666666666666</v>
      </c>
      <c r="F18" s="4">
        <f>F17/$C$17</f>
        <v>1.1166666666666667</v>
      </c>
      <c r="G18" s="22">
        <f>G17/$C$17</f>
        <v>1.0666666666666667</v>
      </c>
    </row>
    <row r="19" spans="1:7" ht="17" thickBot="1" x14ac:dyDescent="0.25">
      <c r="A19" s="36"/>
      <c r="B19" s="12" t="s">
        <v>9</v>
      </c>
      <c r="C19" s="13">
        <v>1025</v>
      </c>
      <c r="D19" s="14">
        <v>1025</v>
      </c>
      <c r="E19" s="14">
        <v>1026</v>
      </c>
      <c r="F19" s="14">
        <v>1035.5</v>
      </c>
      <c r="G19" s="15">
        <v>1031</v>
      </c>
    </row>
    <row r="20" spans="1:7" x14ac:dyDescent="0.2">
      <c r="A20" s="34" t="s">
        <v>13</v>
      </c>
      <c r="B20" s="8" t="s">
        <v>7</v>
      </c>
      <c r="C20" s="9">
        <v>6</v>
      </c>
      <c r="D20" s="9">
        <v>6</v>
      </c>
      <c r="E20" s="9">
        <v>6.5</v>
      </c>
      <c r="F20" s="9">
        <v>7.7</v>
      </c>
      <c r="G20" s="10">
        <v>8</v>
      </c>
    </row>
    <row r="21" spans="1:7" x14ac:dyDescent="0.2">
      <c r="A21" s="35"/>
      <c r="B21" s="1" t="s">
        <v>8</v>
      </c>
      <c r="C21" s="2"/>
      <c r="D21" s="4">
        <f>D20/$C$20</f>
        <v>1</v>
      </c>
      <c r="E21" s="4">
        <f>E20/$C$20</f>
        <v>1.0833333333333333</v>
      </c>
      <c r="F21" s="4">
        <f>F20/$C$20</f>
        <v>1.2833333333333334</v>
      </c>
      <c r="G21" s="22">
        <f>G20/$C$20</f>
        <v>1.3333333333333333</v>
      </c>
    </row>
    <row r="22" spans="1:7" ht="17" thickBot="1" x14ac:dyDescent="0.25">
      <c r="A22" s="36"/>
      <c r="B22" s="12" t="s">
        <v>9</v>
      </c>
      <c r="C22" s="13">
        <v>1025</v>
      </c>
      <c r="D22" s="29">
        <v>1025</v>
      </c>
      <c r="E22" s="29">
        <v>1033</v>
      </c>
      <c r="F22" s="29">
        <v>1050</v>
      </c>
      <c r="G22" s="30">
        <v>1053.5</v>
      </c>
    </row>
    <row r="23" spans="1:7" x14ac:dyDescent="0.2">
      <c r="A23" s="34" t="s">
        <v>14</v>
      </c>
      <c r="B23" s="6" t="s">
        <v>7</v>
      </c>
      <c r="C23" s="7">
        <v>2</v>
      </c>
      <c r="D23" s="7">
        <v>6</v>
      </c>
      <c r="E23" s="7">
        <v>4.5999999999999996</v>
      </c>
      <c r="F23" s="7">
        <v>4.4000000000000004</v>
      </c>
      <c r="G23" s="26"/>
    </row>
    <row r="24" spans="1:7" x14ac:dyDescent="0.2">
      <c r="A24" s="35"/>
      <c r="B24" s="1" t="s">
        <v>8</v>
      </c>
      <c r="C24" s="2"/>
      <c r="D24" s="4">
        <f>D23/$C$23</f>
        <v>3</v>
      </c>
      <c r="E24" s="4">
        <f>E23/$C$23</f>
        <v>2.2999999999999998</v>
      </c>
      <c r="F24" s="4">
        <f>F23/$C$23</f>
        <v>2.2000000000000002</v>
      </c>
      <c r="G24" s="22"/>
    </row>
    <row r="25" spans="1:7" ht="17" thickBot="1" x14ac:dyDescent="0.25">
      <c r="A25" s="36"/>
      <c r="B25" s="16" t="s">
        <v>9</v>
      </c>
      <c r="C25" s="13">
        <v>950</v>
      </c>
      <c r="D25" s="14">
        <v>1025</v>
      </c>
      <c r="E25" s="14">
        <v>1002</v>
      </c>
      <c r="F25" s="14">
        <v>997.5</v>
      </c>
      <c r="G25" s="28"/>
    </row>
    <row r="26" spans="1:7" x14ac:dyDescent="0.2">
      <c r="A26" s="34" t="s">
        <v>19</v>
      </c>
      <c r="B26" s="8" t="s">
        <v>7</v>
      </c>
      <c r="C26" s="9">
        <v>5.7</v>
      </c>
      <c r="D26" s="9">
        <v>6</v>
      </c>
      <c r="E26" s="9">
        <v>5.9</v>
      </c>
      <c r="F26" s="9">
        <v>5.7</v>
      </c>
      <c r="G26" s="10"/>
    </row>
    <row r="27" spans="1:7" x14ac:dyDescent="0.2">
      <c r="A27" s="35"/>
      <c r="B27" s="1" t="s">
        <v>8</v>
      </c>
      <c r="C27" s="2"/>
      <c r="D27" s="4">
        <f>D26/$C$26</f>
        <v>1.0526315789473684</v>
      </c>
      <c r="E27" s="4">
        <f>E26/$C$26</f>
        <v>1.0350877192982457</v>
      </c>
      <c r="F27" s="4">
        <f>F26/$C$26</f>
        <v>1</v>
      </c>
      <c r="G27" s="11"/>
    </row>
    <row r="28" spans="1:7" ht="17" thickBot="1" x14ac:dyDescent="0.25">
      <c r="A28" s="36"/>
      <c r="B28" s="16" t="s">
        <v>9</v>
      </c>
      <c r="C28" s="17">
        <v>1020</v>
      </c>
      <c r="D28" s="31">
        <v>1025</v>
      </c>
      <c r="E28" s="31">
        <v>1024</v>
      </c>
      <c r="F28" s="31">
        <v>1020.5</v>
      </c>
      <c r="G28" s="28"/>
    </row>
    <row r="29" spans="1:7" x14ac:dyDescent="0.2">
      <c r="A29" s="34" t="s">
        <v>16</v>
      </c>
      <c r="B29" s="8" t="s">
        <v>7</v>
      </c>
      <c r="C29" s="9">
        <v>3.2</v>
      </c>
      <c r="D29" s="33">
        <v>6</v>
      </c>
      <c r="E29" s="33">
        <v>5</v>
      </c>
      <c r="F29" s="9"/>
      <c r="G29" s="10"/>
    </row>
    <row r="30" spans="1:7" x14ac:dyDescent="0.2">
      <c r="A30" s="35"/>
      <c r="B30" s="1" t="s">
        <v>8</v>
      </c>
      <c r="C30" s="2"/>
      <c r="D30" s="4">
        <f>D29/$C$29</f>
        <v>1.875</v>
      </c>
      <c r="E30" s="4">
        <f>E29/$C$29</f>
        <v>1.5625</v>
      </c>
      <c r="F30" s="3"/>
      <c r="G30" s="11"/>
    </row>
    <row r="31" spans="1:7" ht="17" thickBot="1" x14ac:dyDescent="0.25">
      <c r="A31" s="36"/>
      <c r="B31" s="12" t="s">
        <v>9</v>
      </c>
      <c r="C31" s="13">
        <v>975</v>
      </c>
      <c r="D31" s="14">
        <v>1025</v>
      </c>
      <c r="E31" s="14">
        <v>1008.5</v>
      </c>
      <c r="F31" s="14"/>
      <c r="G31" s="15"/>
    </row>
    <row r="32" spans="1:7" x14ac:dyDescent="0.2">
      <c r="A32" s="34" t="s">
        <v>15</v>
      </c>
      <c r="B32" s="6" t="s">
        <v>7</v>
      </c>
      <c r="C32" s="7">
        <v>2.9</v>
      </c>
      <c r="D32" s="32">
        <v>6</v>
      </c>
      <c r="E32" s="32">
        <v>3.9</v>
      </c>
      <c r="F32" s="32">
        <v>4.3</v>
      </c>
      <c r="G32" s="26"/>
    </row>
    <row r="33" spans="1:7" x14ac:dyDescent="0.2">
      <c r="A33" s="35"/>
      <c r="B33" s="1" t="s">
        <v>8</v>
      </c>
      <c r="C33" s="2"/>
      <c r="D33" s="4">
        <f>D32/$C$32</f>
        <v>2.0689655172413794</v>
      </c>
      <c r="E33" s="4">
        <f>E32/$C$32</f>
        <v>1.3448275862068966</v>
      </c>
      <c r="F33" s="4">
        <f>F32/$C$32</f>
        <v>1.4827586206896552</v>
      </c>
      <c r="G33" s="11"/>
    </row>
    <row r="34" spans="1:7" ht="17" thickBot="1" x14ac:dyDescent="0.25">
      <c r="A34" s="36"/>
      <c r="B34" s="12" t="s">
        <v>9</v>
      </c>
      <c r="C34" s="13">
        <v>970</v>
      </c>
      <c r="D34" s="14">
        <v>1025</v>
      </c>
      <c r="E34" s="14">
        <v>989.5</v>
      </c>
      <c r="F34" s="14">
        <v>997.5</v>
      </c>
      <c r="G34" s="15"/>
    </row>
    <row r="35" spans="1:7" x14ac:dyDescent="0.2">
      <c r="A35" s="34" t="s">
        <v>20</v>
      </c>
      <c r="B35" s="8" t="s">
        <v>7</v>
      </c>
      <c r="C35" s="9">
        <v>3.4</v>
      </c>
      <c r="D35" s="3">
        <v>6</v>
      </c>
      <c r="E35" s="3">
        <v>3.6</v>
      </c>
      <c r="F35" s="3">
        <v>3.2</v>
      </c>
      <c r="G35" s="10"/>
    </row>
    <row r="36" spans="1:7" x14ac:dyDescent="0.2">
      <c r="A36" s="35"/>
      <c r="B36" s="1" t="s">
        <v>8</v>
      </c>
      <c r="C36" s="2"/>
      <c r="D36" s="4">
        <f>D35/$C$35</f>
        <v>1.7647058823529411</v>
      </c>
      <c r="E36" s="4">
        <f>E35/$C$35</f>
        <v>1.0588235294117647</v>
      </c>
      <c r="F36" s="4">
        <f>F35/$C$35</f>
        <v>0.94117647058823539</v>
      </c>
      <c r="G36" s="11"/>
    </row>
    <row r="37" spans="1:7" ht="17" thickBot="1" x14ac:dyDescent="0.25">
      <c r="A37" s="36"/>
      <c r="B37" s="12" t="s">
        <v>9</v>
      </c>
      <c r="C37" s="13">
        <v>980</v>
      </c>
      <c r="D37" s="14">
        <v>1025</v>
      </c>
      <c r="E37" s="14">
        <v>983.5</v>
      </c>
      <c r="F37" s="14">
        <v>976.5</v>
      </c>
      <c r="G37" s="15"/>
    </row>
    <row r="38" spans="1:7" x14ac:dyDescent="0.2">
      <c r="A38" s="34" t="s">
        <v>18</v>
      </c>
      <c r="B38" s="6" t="s">
        <v>7</v>
      </c>
      <c r="C38" s="7">
        <v>4.5</v>
      </c>
      <c r="D38" s="7">
        <v>6</v>
      </c>
      <c r="E38" s="7">
        <v>5.4</v>
      </c>
      <c r="F38" s="7"/>
      <c r="G38" s="26"/>
    </row>
    <row r="39" spans="1:7" x14ac:dyDescent="0.2">
      <c r="A39" s="35"/>
      <c r="B39" s="1" t="s">
        <v>8</v>
      </c>
      <c r="C39" s="2"/>
      <c r="D39" s="4">
        <f>D38/$C$38</f>
        <v>1.3333333333333333</v>
      </c>
      <c r="E39" s="4">
        <f>E38/$C$38</f>
        <v>1.2000000000000002</v>
      </c>
      <c r="F39" s="3"/>
      <c r="G39" s="11"/>
    </row>
    <row r="40" spans="1:7" ht="17" thickBot="1" x14ac:dyDescent="0.25">
      <c r="A40" s="36"/>
      <c r="B40" s="16" t="s">
        <v>9</v>
      </c>
      <c r="C40" s="17">
        <v>1000</v>
      </c>
      <c r="D40" s="18">
        <v>1025</v>
      </c>
      <c r="E40" s="18">
        <v>1015.5</v>
      </c>
      <c r="F40" s="18"/>
      <c r="G40" s="28"/>
    </row>
    <row r="41" spans="1:7" x14ac:dyDescent="0.2">
      <c r="A41" s="34" t="s">
        <v>17</v>
      </c>
      <c r="B41" s="8" t="s">
        <v>7</v>
      </c>
      <c r="C41" s="9">
        <v>3.2</v>
      </c>
      <c r="D41" s="9">
        <v>5.98</v>
      </c>
      <c r="E41" s="9">
        <v>3.8</v>
      </c>
      <c r="F41" s="9">
        <v>4.2</v>
      </c>
      <c r="G41" s="10">
        <v>3.5</v>
      </c>
    </row>
    <row r="42" spans="1:7" x14ac:dyDescent="0.2">
      <c r="A42" s="35"/>
      <c r="B42" s="1" t="s">
        <v>8</v>
      </c>
      <c r="C42" s="2"/>
      <c r="D42" s="4">
        <f>D41/$C$41</f>
        <v>1.8687500000000001</v>
      </c>
      <c r="E42" s="4">
        <f>E41/$C$41</f>
        <v>1.1874999999999998</v>
      </c>
      <c r="F42" s="4">
        <f>F41/$C$41</f>
        <v>1.3125</v>
      </c>
      <c r="G42" s="22">
        <f>G41/$C$41</f>
        <v>1.09375</v>
      </c>
    </row>
    <row r="43" spans="1:7" ht="17" thickBot="1" x14ac:dyDescent="0.25">
      <c r="A43" s="36"/>
      <c r="B43" s="12" t="s">
        <v>9</v>
      </c>
      <c r="C43" s="13">
        <v>975</v>
      </c>
      <c r="D43" s="29">
        <v>1025</v>
      </c>
      <c r="E43" s="29">
        <v>987</v>
      </c>
      <c r="F43" s="29">
        <v>994</v>
      </c>
      <c r="G43" s="30">
        <v>982</v>
      </c>
    </row>
    <row r="44" spans="1:7" x14ac:dyDescent="0.2">
      <c r="A44" s="34" t="s">
        <v>23</v>
      </c>
      <c r="B44" s="8" t="s">
        <v>7</v>
      </c>
      <c r="C44" s="9">
        <v>5.7</v>
      </c>
      <c r="D44" s="9">
        <v>6</v>
      </c>
      <c r="E44" s="9">
        <v>5.6</v>
      </c>
      <c r="F44" s="9">
        <v>5.6</v>
      </c>
      <c r="G44" s="10"/>
    </row>
    <row r="45" spans="1:7" x14ac:dyDescent="0.2">
      <c r="A45" s="35"/>
      <c r="B45" s="1" t="s">
        <v>8</v>
      </c>
      <c r="C45" s="2"/>
      <c r="D45" s="4">
        <f>D44/$C$44</f>
        <v>1.0526315789473684</v>
      </c>
      <c r="E45" s="4">
        <f>E44/$C$44</f>
        <v>0.98245614035087714</v>
      </c>
      <c r="F45" s="4">
        <f>F44/$C$44</f>
        <v>0.98245614035087714</v>
      </c>
      <c r="G45" s="11"/>
    </row>
    <row r="46" spans="1:7" ht="17" thickBot="1" x14ac:dyDescent="0.25">
      <c r="A46" s="36"/>
      <c r="B46" s="12" t="s">
        <v>9</v>
      </c>
      <c r="C46" s="13">
        <v>1020</v>
      </c>
      <c r="D46" s="29">
        <v>1025</v>
      </c>
      <c r="E46" s="29">
        <v>1019</v>
      </c>
      <c r="F46" s="29">
        <v>1019.5</v>
      </c>
      <c r="G46" s="15"/>
    </row>
    <row r="47" spans="1:7" x14ac:dyDescent="0.2">
      <c r="A47" s="34" t="s">
        <v>24</v>
      </c>
      <c r="B47" s="8" t="s">
        <v>7</v>
      </c>
      <c r="C47" s="2">
        <v>6</v>
      </c>
      <c r="D47" s="2">
        <v>6</v>
      </c>
      <c r="E47" s="4">
        <v>3.4</v>
      </c>
      <c r="F47" s="4">
        <v>3.8</v>
      </c>
      <c r="G47" s="10"/>
    </row>
    <row r="48" spans="1:7" x14ac:dyDescent="0.2">
      <c r="A48" s="35"/>
      <c r="B48" s="1" t="s">
        <v>8</v>
      </c>
      <c r="C48" s="2"/>
      <c r="D48" s="4">
        <f>D47/$C$47</f>
        <v>1</v>
      </c>
      <c r="E48" s="4">
        <f t="shared" ref="E48:F48" si="0">E47/$C$47</f>
        <v>0.56666666666666665</v>
      </c>
      <c r="F48" s="4">
        <f t="shared" si="0"/>
        <v>0.6333333333333333</v>
      </c>
      <c r="G48" s="11"/>
    </row>
    <row r="49" spans="1:7" ht="17" thickBot="1" x14ac:dyDescent="0.25">
      <c r="A49" s="36"/>
      <c r="B49" s="12" t="s">
        <v>9</v>
      </c>
      <c r="C49" s="14">
        <v>1025</v>
      </c>
      <c r="D49" s="14">
        <v>1025</v>
      </c>
      <c r="E49" s="29">
        <v>980.5</v>
      </c>
      <c r="F49" s="29">
        <v>988</v>
      </c>
      <c r="G49" s="15"/>
    </row>
  </sheetData>
  <mergeCells count="16">
    <mergeCell ref="A17:A19"/>
    <mergeCell ref="A35:A37"/>
    <mergeCell ref="A44:A46"/>
    <mergeCell ref="A29:A31"/>
    <mergeCell ref="A41:A43"/>
    <mergeCell ref="A38:A40"/>
    <mergeCell ref="A2:A4"/>
    <mergeCell ref="A5:A7"/>
    <mergeCell ref="A8:A10"/>
    <mergeCell ref="A11:A13"/>
    <mergeCell ref="A14:A16"/>
    <mergeCell ref="A47:A49"/>
    <mergeCell ref="A20:A22"/>
    <mergeCell ref="A23:A25"/>
    <mergeCell ref="A26:A28"/>
    <mergeCell ref="A32:A3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Anabelle Myers</dc:creator>
  <cp:lastModifiedBy>Anabelle Myers</cp:lastModifiedBy>
  <dcterms:created xsi:type="dcterms:W3CDTF">2026-07-29T22:01:34Z</dcterms:created>
  <dcterms:modified xsi:type="dcterms:W3CDTF">2026-08-05T04:46:22Z</dcterms:modified>
</cp:coreProperties>
</file>