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api.box.com/wopi/files/2381414127917/WOPIServiceId_TP_BOX_2/WOPIUserId_-/"/>
    </mc:Choice>
  </mc:AlternateContent>
  <xr:revisionPtr revIDLastSave="37" documentId="13_ncr:1_{965A58C1-EBC7-4AB5-8052-65F942A61827}" xr6:coauthVersionLast="47" xr6:coauthVersionMax="47" xr10:uidLastSave="{3C2E36DB-7539-43BB-B1F0-E09C8BCC75ED}"/>
  <bookViews>
    <workbookView xWindow="-28920" yWindow="-120" windowWidth="29040" windowHeight="15720" xr2:uid="{00000000-000D-0000-FFFF-FFFF00000000}"/>
  </bookViews>
  <sheets>
    <sheet name="ReadMe" sheetId="3" r:id="rId1"/>
    <sheet name="Table2" sheetId="1" r:id="rId2"/>
    <sheet name="TableA1"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2" i="2" l="1"/>
  <c r="H22" i="2"/>
  <c r="Q16" i="2"/>
  <c r="Q17" i="2" s="1"/>
  <c r="P16" i="2"/>
  <c r="P17" i="2" s="1"/>
  <c r="O16" i="2"/>
  <c r="O17" i="2" s="1"/>
  <c r="N16" i="2"/>
  <c r="N17" i="2" s="1"/>
  <c r="M16" i="2"/>
  <c r="M17" i="2" s="1"/>
  <c r="L16" i="2"/>
  <c r="L17" i="2" s="1"/>
  <c r="K16" i="2"/>
  <c r="K17" i="2" s="1"/>
  <c r="J16" i="2"/>
  <c r="J17" i="2" s="1"/>
  <c r="I16" i="2"/>
  <c r="I17" i="2" s="1"/>
  <c r="L10" i="2"/>
  <c r="N10" i="2" s="1"/>
  <c r="J10" i="2"/>
  <c r="J21" i="2" s="1"/>
  <c r="H10" i="2"/>
  <c r="H21" i="2" s="1"/>
  <c r="L9" i="2"/>
  <c r="L20" i="2" s="1"/>
  <c r="J9" i="2"/>
  <c r="S9" i="2" s="1"/>
  <c r="H9" i="2"/>
  <c r="H20" i="2" s="1"/>
  <c r="L8" i="2"/>
  <c r="N8" i="2" s="1"/>
  <c r="N19" i="2" s="1"/>
  <c r="J8" i="2"/>
  <c r="S8" i="2" s="1"/>
  <c r="H8" i="2"/>
  <c r="H19" i="2" s="1"/>
  <c r="L7" i="2"/>
  <c r="M7" i="2" s="1"/>
  <c r="J7" i="2"/>
  <c r="S7" i="2" s="1"/>
  <c r="I7" i="2"/>
  <c r="I18" i="2" s="1"/>
  <c r="H7" i="2"/>
  <c r="H18" i="2" s="1"/>
  <c r="F11" i="1"/>
  <c r="F15" i="1"/>
  <c r="G15" i="1"/>
  <c r="H15" i="1"/>
  <c r="I15" i="1"/>
  <c r="F16" i="1"/>
  <c r="G16" i="1"/>
  <c r="H16" i="1"/>
  <c r="I16" i="1"/>
  <c r="F17" i="1"/>
  <c r="G17" i="1"/>
  <c r="H17" i="1"/>
  <c r="I17" i="1"/>
  <c r="F18" i="1"/>
  <c r="G18" i="1"/>
  <c r="H18" i="1"/>
  <c r="I18" i="1"/>
  <c r="G14" i="1"/>
  <c r="H14" i="1"/>
  <c r="I14" i="1"/>
  <c r="F14" i="1"/>
  <c r="G12" i="1"/>
  <c r="H12" i="1"/>
  <c r="I12" i="1"/>
  <c r="F12" i="1"/>
  <c r="F8" i="1"/>
  <c r="G6" i="1"/>
  <c r="G8" i="1" s="1"/>
  <c r="D15" i="1"/>
  <c r="D16" i="1" s="1"/>
  <c r="D17" i="1" s="1"/>
  <c r="D18" i="1" s="1"/>
  <c r="B15" i="1"/>
  <c r="B16" i="1" s="1"/>
  <c r="B17" i="1" s="1"/>
  <c r="B18" i="1" s="1"/>
  <c r="C18" i="1" s="1"/>
  <c r="C14" i="1"/>
  <c r="E14" i="1" s="1"/>
  <c r="N7" i="2" l="1"/>
  <c r="O7" i="2" s="1"/>
  <c r="O18" i="2" s="1"/>
  <c r="L18" i="2"/>
  <c r="J18" i="2"/>
  <c r="M10" i="2"/>
  <c r="M21" i="2" s="1"/>
  <c r="L21" i="2"/>
  <c r="N21" i="2"/>
  <c r="O10" i="2"/>
  <c r="O21" i="2" s="1"/>
  <c r="Q10" i="2"/>
  <c r="Q21" i="2" s="1"/>
  <c r="P10" i="2"/>
  <c r="P21" i="2" s="1"/>
  <c r="J19" i="2"/>
  <c r="M8" i="2"/>
  <c r="M19" i="2" s="1"/>
  <c r="K8" i="2"/>
  <c r="K19" i="2" s="1"/>
  <c r="K9" i="2"/>
  <c r="K20" i="2" s="1"/>
  <c r="L11" i="2"/>
  <c r="L22" i="2"/>
  <c r="M18" i="2"/>
  <c r="O8" i="2"/>
  <c r="O19" i="2" s="1"/>
  <c r="K7" i="2"/>
  <c r="P8" i="2"/>
  <c r="P19" i="2" s="1"/>
  <c r="M9" i="2"/>
  <c r="M20" i="2" s="1"/>
  <c r="S10" i="2"/>
  <c r="I8" i="2"/>
  <c r="Q8" i="2"/>
  <c r="Q19" i="2" s="1"/>
  <c r="N9" i="2"/>
  <c r="K10" i="2"/>
  <c r="K21" i="2" s="1"/>
  <c r="J11" i="2"/>
  <c r="L19" i="2"/>
  <c r="J20" i="2"/>
  <c r="H6" i="1"/>
  <c r="C15" i="1"/>
  <c r="E15" i="1" s="1"/>
  <c r="E18" i="1"/>
  <c r="C17" i="1"/>
  <c r="E17" i="1" s="1"/>
  <c r="C16" i="1"/>
  <c r="E16" i="1" s="1"/>
  <c r="P7" i="2" l="1"/>
  <c r="P18" i="2" s="1"/>
  <c r="N11" i="2"/>
  <c r="N18" i="2"/>
  <c r="Q7" i="2"/>
  <c r="Q18" i="2" s="1"/>
  <c r="M11" i="2"/>
  <c r="J22" i="2"/>
  <c r="K11" i="2"/>
  <c r="K18" i="2"/>
  <c r="K22" i="2" s="1"/>
  <c r="Q9" i="2"/>
  <c r="P9" i="2"/>
  <c r="O9" i="2"/>
  <c r="N20" i="2"/>
  <c r="N22" i="2" s="1"/>
  <c r="I9" i="2"/>
  <c r="I19" i="2"/>
  <c r="M22" i="2"/>
  <c r="H8" i="1"/>
  <c r="I6" i="1"/>
  <c r="I8" i="1" s="1"/>
  <c r="O20" i="2" l="1"/>
  <c r="O22" i="2" s="1"/>
  <c r="O11" i="2"/>
  <c r="Q20" i="2"/>
  <c r="Q22" i="2" s="1"/>
  <c r="Q11" i="2"/>
  <c r="I10" i="2"/>
  <c r="I21" i="2" s="1"/>
  <c r="I20" i="2"/>
  <c r="I22" i="2" s="1"/>
  <c r="I11" i="2"/>
  <c r="P20" i="2"/>
  <c r="P22" i="2" s="1"/>
  <c r="P11" i="2"/>
</calcChain>
</file>

<file path=xl/sharedStrings.xml><?xml version="1.0" encoding="utf-8"?>
<sst xmlns="http://schemas.openxmlformats.org/spreadsheetml/2006/main" count="50" uniqueCount="47">
  <si>
    <t>This table identifies conditions of Lake Powell release, Grand Canyon Gain, Lake Mead Inflow, Lake Evaporation, and Physcial Available Water where mandatory cuts are insufficient</t>
  </si>
  <si>
    <t>Grand Canyon Gain</t>
  </si>
  <si>
    <t>Mead Evaporation</t>
  </si>
  <si>
    <t>Lake Mead Inflow</t>
  </si>
  <si>
    <t>Physically Available Water</t>
  </si>
  <si>
    <t>Lake Powell Release</t>
  </si>
  <si>
    <t>[A]</t>
  </si>
  <si>
    <t>[B]</t>
  </si>
  <si>
    <t>[C] = [A]+[B]</t>
  </si>
  <si>
    <t>[D]</t>
  </si>
  <si>
    <t>[E] = [C]-[D]</t>
  </si>
  <si>
    <t>Shortage</t>
  </si>
  <si>
    <t>Invalid</t>
  </si>
  <si>
    <t>Historical Entitlement</t>
  </si>
  <si>
    <t>Max consumption</t>
  </si>
  <si>
    <t>[F]</t>
  </si>
  <si>
    <t>[G]</t>
  </si>
  <si>
    <t>[H]</t>
  </si>
  <si>
    <t>[I]</t>
  </si>
  <si>
    <t>Yes</t>
  </si>
  <si>
    <t>Table 2. Conditions of Lake Powell releases and Lower Basin shortages where there is sufficient physically available water to award all credits. When there is insufficient water, the gap is calculated. All columns million acre-feet per year.</t>
  </si>
  <si>
    <t>Shortage Volume (maf per year)</t>
  </si>
  <si>
    <t>Entity</t>
  </si>
  <si>
    <t>Shortage (%) from 0 to 300 kaf</t>
  </si>
  <si>
    <t>Shortage (%) from 300 to 1,500 kaf</t>
  </si>
  <si>
    <t>Total Shortage (kaf) when Lower Basin-wide Shortage is 1,500 kaf</t>
  </si>
  <si>
    <t>Shortage (%) 1,500 kaf to 2,344 kaf</t>
  </si>
  <si>
    <t>Shortage (%) 2,345 kaf to 3,600 kaf</t>
  </si>
  <si>
    <t>1.5 check</t>
  </si>
  <si>
    <t>Arizona</t>
  </si>
  <si>
    <t>California</t>
  </si>
  <si>
    <t>Nevada</t>
  </si>
  <si>
    <t>Mexico</t>
  </si>
  <si>
    <t>Total</t>
  </si>
  <si>
    <t>Available Water</t>
  </si>
  <si>
    <t>This Excel workbook contains data and calculations for the Tables in the paper "The Lake Mead Water Conservation Program: Reducing Users’ Conflicting Risks of Declining Flows with more Adaptation and Autonomy."</t>
  </si>
  <si>
    <t>Description</t>
  </si>
  <si>
    <t>Table2</t>
  </si>
  <si>
    <t>Worksheet</t>
  </si>
  <si>
    <t>Table 2. Conditions of Lake Powell releases and Lower Basin shortages where there is sufficient physically available water to award all requested credits. When there is insufficient water, the gap is calculated. All columns million acre-feet per year.</t>
  </si>
  <si>
    <t>Table A1. Share of Lake Mead available water by volume (rounded to 0.1 maf).</t>
  </si>
  <si>
    <t>Table 2-3 within the Final Environmental Impact Statement (2026). This table shows 2027–2028 Shortage Distribution by Percentage, Representative Preferred Alternative</t>
  </si>
  <si>
    <t>Conversion of Percentage Shares of Shortage in Table 2-3 into shortage volumes</t>
  </si>
  <si>
    <t>Conversation of shortage volumes into available water</t>
  </si>
  <si>
    <t>TableA1</t>
  </si>
  <si>
    <t>Calculations for Table 2 in the manuscript - Conditions of Lake Powell releases and Lower Basin shortages where there is sufficient physically available water to award all requested credits. When there is insufficient water, the gap is calculated. All columns million acre-feet per year.</t>
  </si>
  <si>
    <t>Calculations for Table A1 in the manuscript - Share of Lake Mead available water by volume (rounded to 0.1 maf).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</si>
</sst>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7">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0" fontId="1" fillId="2" borderId="2" xfId="0" applyFont="1" applyFill="1" applyBorder="1" applyAlignment="1">
      <alignment horizontal="center" wrapText="1"/>
    </xf>
    <xf numFmtId="0" fontId="0" fillId="2" borderId="4" xfId="0" applyFill="1" applyBorder="1" applyAlignment="1">
      <alignment horizontal="center" wrapText="1"/>
    </xf>
    <xf numFmtId="0" fontId="0" fillId="2" borderId="4" xfId="0" applyFill="1" applyBorder="1" applyAlignment="1">
      <alignment horizontal="center"/>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3" borderId="1" xfId="0" applyFont="1" applyFill="1" applyBorder="1"/>
    <xf numFmtId="0" fontId="1" fillId="3" borderId="1" xfId="0" applyFont="1" applyFill="1" applyBorder="1" applyAlignment="1">
      <alignment horizontal="center"/>
    </xf>
    <xf numFmtId="0" fontId="0" fillId="0" borderId="0" xfId="0" applyAlignment="1">
      <alignment horizontal="center" wrapText="1"/>
    </xf>
    <xf numFmtId="0" fontId="1" fillId="3" borderId="1" xfId="0" applyFont="1" applyFill="1" applyBorder="1" applyAlignment="1">
      <alignment horizontal="center"/>
    </xf>
    <xf numFmtId="2" fontId="1" fillId="3" borderId="1" xfId="0" applyNumberFormat="1" applyFont="1" applyFill="1" applyBorder="1" applyAlignment="1">
      <alignment horizontal="center"/>
    </xf>
    <xf numFmtId="0" fontId="0" fillId="0" borderId="1" xfId="0" applyBorder="1"/>
    <xf numFmtId="164" fontId="0" fillId="0" borderId="1" xfId="0" applyNumberFormat="1" applyBorder="1" applyAlignment="1">
      <alignment horizontal="center"/>
    </xf>
    <xf numFmtId="2" fontId="0" fillId="0" borderId="0" xfId="0" applyNumberFormat="1" applyAlignment="1">
      <alignment horizontal="center"/>
    </xf>
    <xf numFmtId="0" fontId="1" fillId="2" borderId="1" xfId="0" applyFont="1" applyFill="1" applyBorder="1"/>
    <xf numFmtId="164" fontId="1" fillId="2" borderId="1" xfId="0" applyNumberFormat="1" applyFont="1" applyFill="1" applyBorder="1" applyAlignment="1">
      <alignment horizontal="center"/>
    </xf>
    <xf numFmtId="0" fontId="0" fillId="0" borderId="1" xfId="0" applyBorder="1" applyAlignment="1">
      <alignment vertical="center" wrapText="1"/>
    </xf>
    <xf numFmtId="164" fontId="0" fillId="0" borderId="1" xfId="0" applyNumberFormat="1" applyBorder="1" applyAlignment="1">
      <alignment horizontal="center" vertical="center"/>
    </xf>
    <xf numFmtId="0" fontId="1" fillId="3" borderId="8" xfId="0" applyFont="1" applyFill="1" applyBorder="1" applyAlignment="1">
      <alignment horizontal="center"/>
    </xf>
    <xf numFmtId="164" fontId="1" fillId="2" borderId="8" xfId="0" applyNumberFormat="1" applyFont="1" applyFill="1" applyBorder="1"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9CE4C-EBC3-409E-988C-8E1402A2C945}">
  <dimension ref="A10:B15"/>
  <sheetViews>
    <sheetView tabSelected="1" topLeftCell="A10" zoomScale="150" zoomScaleNormal="150" workbookViewId="0">
      <selection activeCell="B18" sqref="B18"/>
    </sheetView>
  </sheetViews>
  <sheetFormatPr defaultRowHeight="14.5" x14ac:dyDescent="0.35"/>
  <cols>
    <col min="1" max="1" width="12.1796875" customWidth="1"/>
  </cols>
  <sheetData>
    <row r="10" spans="1:2" x14ac:dyDescent="0.35">
      <c r="A10" s="1" t="s">
        <v>35</v>
      </c>
    </row>
    <row r="13" spans="1:2" x14ac:dyDescent="0.35">
      <c r="A13" s="1" t="s">
        <v>38</v>
      </c>
      <c r="B13" s="1" t="s">
        <v>36</v>
      </c>
    </row>
    <row r="14" spans="1:2" x14ac:dyDescent="0.35">
      <c r="A14" t="s">
        <v>37</v>
      </c>
      <c r="B14" t="s">
        <v>45</v>
      </c>
    </row>
    <row r="15" spans="1:2" x14ac:dyDescent="0.35">
      <c r="A15" t="s">
        <v>44</v>
      </c>
      <c r="B15"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zoomScale="170" zoomScaleNormal="170" workbookViewId="0">
      <selection activeCell="A10" sqref="A10"/>
    </sheetView>
  </sheetViews>
  <sheetFormatPr defaultRowHeight="14.5" x14ac:dyDescent="0.35"/>
  <cols>
    <col min="1" max="1" width="8.453125" customWidth="1"/>
    <col min="2" max="2" width="7.1796875" customWidth="1"/>
    <col min="3" max="3" width="11.08984375" customWidth="1"/>
    <col min="4" max="4" width="12" customWidth="1"/>
    <col min="5" max="5" width="10.7265625" customWidth="1"/>
    <col min="6" max="6" width="10.08984375" customWidth="1"/>
    <col min="7" max="7" width="10.26953125" customWidth="1"/>
  </cols>
  <sheetData>
    <row r="1" spans="1:13" x14ac:dyDescent="0.35">
      <c r="A1" s="1" t="s">
        <v>39</v>
      </c>
    </row>
    <row r="3" spans="1:13" x14ac:dyDescent="0.35">
      <c r="A3" t="s">
        <v>0</v>
      </c>
    </row>
    <row r="6" spans="1:13" x14ac:dyDescent="0.35">
      <c r="E6" t="s">
        <v>13</v>
      </c>
      <c r="F6" s="2">
        <v>9</v>
      </c>
      <c r="G6" s="2">
        <f>F6</f>
        <v>9</v>
      </c>
      <c r="H6" s="2">
        <f t="shared" ref="H6:I6" si="0">G6</f>
        <v>9</v>
      </c>
      <c r="I6" s="2">
        <f t="shared" si="0"/>
        <v>9</v>
      </c>
    </row>
    <row r="7" spans="1:13" x14ac:dyDescent="0.35">
      <c r="E7" t="s">
        <v>11</v>
      </c>
      <c r="F7" s="2">
        <v>1.5</v>
      </c>
      <c r="G7" s="2">
        <v>2</v>
      </c>
      <c r="H7" s="2">
        <v>3</v>
      </c>
      <c r="I7" s="2">
        <v>4</v>
      </c>
    </row>
    <row r="8" spans="1:13" x14ac:dyDescent="0.35">
      <c r="E8" t="s">
        <v>14</v>
      </c>
      <c r="F8" s="2">
        <f>F6-F7</f>
        <v>7.5</v>
      </c>
      <c r="G8" s="2">
        <f t="shared" ref="G8:I8" si="1">G6-G7</f>
        <v>7</v>
      </c>
      <c r="H8" s="2">
        <f t="shared" si="1"/>
        <v>6</v>
      </c>
      <c r="I8" s="2">
        <f t="shared" si="1"/>
        <v>5</v>
      </c>
    </row>
    <row r="10" spans="1:13" x14ac:dyDescent="0.35">
      <c r="A10" s="1" t="s">
        <v>20</v>
      </c>
    </row>
    <row r="11" spans="1:13" ht="30" customHeight="1" x14ac:dyDescent="0.35">
      <c r="A11" s="10" t="s">
        <v>5</v>
      </c>
      <c r="B11" s="10" t="s">
        <v>1</v>
      </c>
      <c r="C11" s="10" t="s">
        <v>3</v>
      </c>
      <c r="D11" s="10" t="s">
        <v>2</v>
      </c>
      <c r="E11" s="10" t="s">
        <v>4</v>
      </c>
      <c r="F11" s="7" t="str">
        <f>"Total Shortage" &amp; CHAR(10) &amp; "(Total Legal Entitlements - Total Shortages)"</f>
        <v>Total Shortage
(Total Legal Entitlements - Total Shortages)</v>
      </c>
      <c r="G11" s="8"/>
      <c r="H11" s="8"/>
      <c r="I11" s="9"/>
    </row>
    <row r="12" spans="1:13" ht="31" customHeight="1" x14ac:dyDescent="0.35">
      <c r="A12" s="11"/>
      <c r="B12" s="11"/>
      <c r="C12" s="11"/>
      <c r="D12" s="11"/>
      <c r="E12" s="11"/>
      <c r="F12" s="4" t="str">
        <f>TEXT(F7,"0.0") &amp; CHAR(10) &amp; "(" &amp; TEXT(F8,"0.0") &amp;")"</f>
        <v>1.5
(7.5)</v>
      </c>
      <c r="G12" s="4" t="str">
        <f t="shared" ref="G12:I12" si="2">TEXT(G7,"0.0") &amp; CHAR(10) &amp; "(" &amp; TEXT(G8,"0.0") &amp;")"</f>
        <v>2.0
(7.0)</v>
      </c>
      <c r="H12" s="4" t="str">
        <f t="shared" si="2"/>
        <v>3.0
(6.0)</v>
      </c>
      <c r="I12" s="4" t="str">
        <f t="shared" si="2"/>
        <v>4.0
(5.0)</v>
      </c>
    </row>
    <row r="13" spans="1:13" ht="15.5" customHeight="1" x14ac:dyDescent="0.35">
      <c r="A13" s="5" t="s">
        <v>6</v>
      </c>
      <c r="B13" s="5" t="s">
        <v>7</v>
      </c>
      <c r="C13" s="5" t="s">
        <v>8</v>
      </c>
      <c r="D13" s="5" t="s">
        <v>9</v>
      </c>
      <c r="E13" s="5" t="s">
        <v>10</v>
      </c>
      <c r="F13" s="6" t="s">
        <v>15</v>
      </c>
      <c r="G13" s="6" t="s">
        <v>16</v>
      </c>
      <c r="H13" s="6" t="s">
        <v>17</v>
      </c>
      <c r="I13" s="6" t="s">
        <v>18</v>
      </c>
    </row>
    <row r="14" spans="1:13" x14ac:dyDescent="0.35">
      <c r="A14" s="3">
        <v>7.5</v>
      </c>
      <c r="B14" s="3">
        <v>0.6</v>
      </c>
      <c r="C14" s="3">
        <f>A14+B14</f>
        <v>8.1</v>
      </c>
      <c r="D14" s="3">
        <v>0.2</v>
      </c>
      <c r="E14" s="3">
        <f>C14-D14</f>
        <v>7.8999999999999995</v>
      </c>
      <c r="F14" s="3" t="str">
        <f>IF($E14&gt;F$8,$L$14,F$8-$E14)</f>
        <v>Yes</v>
      </c>
      <c r="G14" s="3" t="str">
        <f t="shared" ref="G14:I18" si="3">IF($E14&gt;G$8,$L$14,G$8-$E14)</f>
        <v>Yes</v>
      </c>
      <c r="H14" s="3" t="str">
        <f t="shared" si="3"/>
        <v>Yes</v>
      </c>
      <c r="I14" s="3" t="str">
        <f t="shared" si="3"/>
        <v>Yes</v>
      </c>
      <c r="L14" t="s">
        <v>19</v>
      </c>
      <c r="M14" t="s">
        <v>12</v>
      </c>
    </row>
    <row r="15" spans="1:13" x14ac:dyDescent="0.35">
      <c r="A15" s="3">
        <v>7</v>
      </c>
      <c r="B15" s="3">
        <f>B14</f>
        <v>0.6</v>
      </c>
      <c r="C15" s="3">
        <f t="shared" ref="C15" si="4">A15+B15</f>
        <v>7.6</v>
      </c>
      <c r="D15" s="3">
        <f>D14</f>
        <v>0.2</v>
      </c>
      <c r="E15" s="3">
        <f t="shared" ref="E15" si="5">C15-D15</f>
        <v>7.3999999999999995</v>
      </c>
      <c r="F15" s="3">
        <f t="shared" ref="F15:F18" si="6">IF($E15&gt;F$8,$L$14,F$8-$E15)</f>
        <v>0.10000000000000053</v>
      </c>
      <c r="G15" s="3" t="str">
        <f t="shared" si="3"/>
        <v>Yes</v>
      </c>
      <c r="H15" s="3" t="str">
        <f t="shared" si="3"/>
        <v>Yes</v>
      </c>
      <c r="I15" s="3" t="str">
        <f t="shared" si="3"/>
        <v>Yes</v>
      </c>
    </row>
    <row r="16" spans="1:13" x14ac:dyDescent="0.35">
      <c r="A16" s="3">
        <v>6</v>
      </c>
      <c r="B16" s="3">
        <f t="shared" ref="B16:B18" si="7">B15</f>
        <v>0.6</v>
      </c>
      <c r="C16" s="3">
        <f t="shared" ref="C16:C18" si="8">A16+B16</f>
        <v>6.6</v>
      </c>
      <c r="D16" s="3">
        <f t="shared" ref="D16:D18" si="9">D15</f>
        <v>0.2</v>
      </c>
      <c r="E16" s="3">
        <f t="shared" ref="E16:E18" si="10">C16-D16</f>
        <v>6.3999999999999995</v>
      </c>
      <c r="F16" s="3">
        <f t="shared" si="6"/>
        <v>1.1000000000000005</v>
      </c>
      <c r="G16" s="3">
        <f t="shared" si="3"/>
        <v>0.60000000000000053</v>
      </c>
      <c r="H16" s="3" t="str">
        <f t="shared" si="3"/>
        <v>Yes</v>
      </c>
      <c r="I16" s="3" t="str">
        <f t="shared" si="3"/>
        <v>Yes</v>
      </c>
    </row>
    <row r="17" spans="1:9" x14ac:dyDescent="0.35">
      <c r="A17" s="3">
        <v>5</v>
      </c>
      <c r="B17" s="3">
        <f t="shared" si="7"/>
        <v>0.6</v>
      </c>
      <c r="C17" s="3">
        <f t="shared" si="8"/>
        <v>5.6</v>
      </c>
      <c r="D17" s="3">
        <f t="shared" si="9"/>
        <v>0.2</v>
      </c>
      <c r="E17" s="3">
        <f t="shared" si="10"/>
        <v>5.3999999999999995</v>
      </c>
      <c r="F17" s="3">
        <f t="shared" si="6"/>
        <v>2.1000000000000005</v>
      </c>
      <c r="G17" s="3">
        <f t="shared" si="3"/>
        <v>1.6000000000000005</v>
      </c>
      <c r="H17" s="3">
        <f t="shared" si="3"/>
        <v>0.60000000000000053</v>
      </c>
      <c r="I17" s="3" t="str">
        <f t="shared" si="3"/>
        <v>Yes</v>
      </c>
    </row>
    <row r="18" spans="1:9" x14ac:dyDescent="0.35">
      <c r="A18" s="3">
        <v>4</v>
      </c>
      <c r="B18" s="3">
        <f t="shared" si="7"/>
        <v>0.6</v>
      </c>
      <c r="C18" s="3">
        <f t="shared" si="8"/>
        <v>4.5999999999999996</v>
      </c>
      <c r="D18" s="3">
        <f t="shared" si="9"/>
        <v>0.2</v>
      </c>
      <c r="E18" s="3">
        <f t="shared" si="10"/>
        <v>4.3999999999999995</v>
      </c>
      <c r="F18" s="3">
        <f t="shared" si="6"/>
        <v>3.1000000000000005</v>
      </c>
      <c r="G18" s="3">
        <f t="shared" si="3"/>
        <v>2.6000000000000005</v>
      </c>
      <c r="H18" s="3">
        <f t="shared" si="3"/>
        <v>1.6000000000000005</v>
      </c>
      <c r="I18" s="3">
        <f t="shared" si="3"/>
        <v>0.60000000000000053</v>
      </c>
    </row>
  </sheetData>
  <mergeCells count="6">
    <mergeCell ref="F11:I11"/>
    <mergeCell ref="A11:A12"/>
    <mergeCell ref="B11:B12"/>
    <mergeCell ref="C11:C12"/>
    <mergeCell ref="D11:D12"/>
    <mergeCell ref="E11:E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9A3D4-E496-415B-A4A9-301EE26A41E1}">
  <dimension ref="A1:S22"/>
  <sheetViews>
    <sheetView topLeftCell="A6" zoomScale="180" zoomScaleNormal="180" workbookViewId="0">
      <selection activeCell="H6" sqref="H6"/>
    </sheetView>
  </sheetViews>
  <sheetFormatPr defaultRowHeight="14.5" x14ac:dyDescent="0.35"/>
  <cols>
    <col min="2" max="2" width="11" customWidth="1"/>
    <col min="3" max="3" width="13.36328125" customWidth="1"/>
    <col min="4" max="4" width="21.36328125" customWidth="1"/>
    <col min="5" max="5" width="12.6328125" customWidth="1"/>
    <col min="6" max="6" width="13.54296875" customWidth="1"/>
    <col min="9" max="17" width="4.54296875" customWidth="1"/>
    <col min="18" max="18" width="3.6328125" customWidth="1"/>
    <col min="19" max="19" width="8.453125" bestFit="1" customWidth="1"/>
  </cols>
  <sheetData>
    <row r="1" spans="1:19" x14ac:dyDescent="0.35">
      <c r="A1" s="1" t="s">
        <v>40</v>
      </c>
    </row>
    <row r="4" spans="1:19" ht="30.5" customHeight="1" x14ac:dyDescent="0.35">
      <c r="A4" s="26" t="s">
        <v>41</v>
      </c>
      <c r="B4" s="26"/>
      <c r="C4" s="26"/>
      <c r="D4" s="26"/>
      <c r="E4" s="26"/>
      <c r="F4" s="26"/>
      <c r="H4" t="s">
        <v>42</v>
      </c>
    </row>
    <row r="5" spans="1:19" x14ac:dyDescent="0.35">
      <c r="H5" s="12"/>
      <c r="I5" s="13" t="s">
        <v>21</v>
      </c>
      <c r="J5" s="13"/>
      <c r="K5" s="13"/>
      <c r="L5" s="13"/>
      <c r="M5" s="13"/>
      <c r="N5" s="13"/>
      <c r="O5" s="13"/>
      <c r="P5" s="13"/>
      <c r="Q5" s="13"/>
    </row>
    <row r="6" spans="1:19" ht="47.5" customHeight="1" x14ac:dyDescent="0.35">
      <c r="A6" t="s">
        <v>22</v>
      </c>
      <c r="B6" s="14" t="s">
        <v>23</v>
      </c>
      <c r="C6" s="14" t="s">
        <v>24</v>
      </c>
      <c r="D6" s="14" t="s">
        <v>25</v>
      </c>
      <c r="E6" s="14" t="s">
        <v>26</v>
      </c>
      <c r="F6" s="14" t="s">
        <v>27</v>
      </c>
      <c r="H6" s="12" t="s">
        <v>22</v>
      </c>
      <c r="I6" s="15">
        <v>0</v>
      </c>
      <c r="J6" s="15">
        <v>0.3</v>
      </c>
      <c r="K6" s="15">
        <v>1</v>
      </c>
      <c r="L6" s="15">
        <v>1.5</v>
      </c>
      <c r="M6" s="15">
        <v>2</v>
      </c>
      <c r="N6" s="16">
        <v>2.3439999999999999</v>
      </c>
      <c r="O6" s="15">
        <v>2.5</v>
      </c>
      <c r="P6" s="15">
        <v>3</v>
      </c>
      <c r="Q6" s="15">
        <v>3.6</v>
      </c>
      <c r="S6" t="s">
        <v>28</v>
      </c>
    </row>
    <row r="7" spans="1:19" x14ac:dyDescent="0.35">
      <c r="A7" t="s">
        <v>29</v>
      </c>
      <c r="B7" s="2">
        <v>80</v>
      </c>
      <c r="C7" s="2">
        <v>43.33</v>
      </c>
      <c r="D7" s="2">
        <v>760</v>
      </c>
      <c r="E7" s="2">
        <v>76.260000000000005</v>
      </c>
      <c r="F7" s="2">
        <v>31.1</v>
      </c>
      <c r="H7" s="17" t="str">
        <f>A7</f>
        <v>Arizona</v>
      </c>
      <c r="I7" s="18">
        <f>I6</f>
        <v>0</v>
      </c>
      <c r="J7" s="18">
        <f>J$6*B7/100</f>
        <v>0.24</v>
      </c>
      <c r="K7" s="18">
        <f>$J7+(K$6-$J$6)*C7/100</f>
        <v>0.54330999999999996</v>
      </c>
      <c r="L7" s="18">
        <f>D7/1000</f>
        <v>0.76</v>
      </c>
      <c r="M7" s="18">
        <f>$L7+(M$6-$L$6)*$E7/100</f>
        <v>1.1413</v>
      </c>
      <c r="N7" s="18">
        <f>$L7+(N$6-$L$6)*$E7/100</f>
        <v>1.4036344000000001</v>
      </c>
      <c r="O7" s="18">
        <f t="shared" ref="O7:Q10" si="0">$N7+(O$6-$N$6)*$F7/100</f>
        <v>1.4521504000000001</v>
      </c>
      <c r="P7" s="18">
        <f t="shared" si="0"/>
        <v>1.6076504</v>
      </c>
      <c r="Q7" s="18">
        <f t="shared" si="0"/>
        <v>1.7942504000000001</v>
      </c>
      <c r="S7" s="19">
        <f>$J7+(L$6-$J$6)*C7/100</f>
        <v>0.75995999999999997</v>
      </c>
    </row>
    <row r="8" spans="1:19" x14ac:dyDescent="0.35">
      <c r="A8" t="s">
        <v>30</v>
      </c>
      <c r="B8" s="2">
        <v>0</v>
      </c>
      <c r="C8" s="2">
        <v>36.67</v>
      </c>
      <c r="D8" s="2">
        <v>440</v>
      </c>
      <c r="E8" s="2">
        <v>0</v>
      </c>
      <c r="F8" s="2">
        <v>45.16</v>
      </c>
      <c r="H8" s="17" t="str">
        <f>A8</f>
        <v>California</v>
      </c>
      <c r="I8" s="18">
        <f t="shared" ref="I8:I10" si="1">I7</f>
        <v>0</v>
      </c>
      <c r="J8" s="18">
        <f>J$6*B8/100</f>
        <v>0</v>
      </c>
      <c r="K8" s="18">
        <f>$J8+(K$6-$J$6)*C8/100</f>
        <v>0.25669000000000003</v>
      </c>
      <c r="L8" s="18">
        <f>D8/1000</f>
        <v>0.44</v>
      </c>
      <c r="M8" s="18">
        <f t="shared" ref="M8:N10" si="2">$L8+(M$6-$L$6)*$E8/100</f>
        <v>0.44</v>
      </c>
      <c r="N8" s="18">
        <f t="shared" si="2"/>
        <v>0.44</v>
      </c>
      <c r="O8" s="18">
        <f t="shared" si="0"/>
        <v>0.51044960000000006</v>
      </c>
      <c r="P8" s="18">
        <f t="shared" si="0"/>
        <v>0.73624960000000006</v>
      </c>
      <c r="Q8" s="18">
        <f t="shared" si="0"/>
        <v>1.0072096000000001</v>
      </c>
      <c r="S8" s="19">
        <f>$J8+(L$6-$J$6)*C8/100</f>
        <v>0.44003999999999999</v>
      </c>
    </row>
    <row r="9" spans="1:19" x14ac:dyDescent="0.35">
      <c r="A9" t="s">
        <v>31</v>
      </c>
      <c r="B9" s="2">
        <v>3.33</v>
      </c>
      <c r="C9" s="2">
        <v>3.33</v>
      </c>
      <c r="D9" s="2">
        <v>50</v>
      </c>
      <c r="E9" s="2">
        <v>7.08</v>
      </c>
      <c r="F9" s="2">
        <v>7.08</v>
      </c>
      <c r="H9" s="17" t="str">
        <f>A9</f>
        <v>Nevada</v>
      </c>
      <c r="I9" s="18">
        <f t="shared" si="1"/>
        <v>0</v>
      </c>
      <c r="J9" s="18">
        <f>J$6*B9/100</f>
        <v>9.9900000000000006E-3</v>
      </c>
      <c r="K9" s="18">
        <f>$J9+(K$6-$J$6)*C9/100</f>
        <v>3.3300000000000003E-2</v>
      </c>
      <c r="L9" s="18">
        <f>D9/1000</f>
        <v>0.05</v>
      </c>
      <c r="M9" s="18">
        <f t="shared" si="2"/>
        <v>8.5400000000000004E-2</v>
      </c>
      <c r="N9" s="18">
        <f t="shared" si="2"/>
        <v>0.1097552</v>
      </c>
      <c r="O9" s="18">
        <f t="shared" si="0"/>
        <v>0.1208</v>
      </c>
      <c r="P9" s="18">
        <f t="shared" si="0"/>
        <v>0.15620000000000001</v>
      </c>
      <c r="Q9" s="18">
        <f t="shared" si="0"/>
        <v>0.19868000000000002</v>
      </c>
      <c r="S9" s="19">
        <f>$J9+(L$6-$J$6)*C9/100</f>
        <v>4.9950000000000001E-2</v>
      </c>
    </row>
    <row r="10" spans="1:19" x14ac:dyDescent="0.35">
      <c r="A10" t="s">
        <v>32</v>
      </c>
      <c r="B10" s="2">
        <v>16.670000000000002</v>
      </c>
      <c r="C10" s="2">
        <v>16.670000000000002</v>
      </c>
      <c r="D10" s="2">
        <v>250</v>
      </c>
      <c r="E10" s="2">
        <v>16.670000000000002</v>
      </c>
      <c r="F10" s="2">
        <v>16.670000000000002</v>
      </c>
      <c r="H10" s="17" t="str">
        <f>A10</f>
        <v>Mexico</v>
      </c>
      <c r="I10" s="18">
        <f t="shared" si="1"/>
        <v>0</v>
      </c>
      <c r="J10" s="18">
        <f>J$6*B10/100</f>
        <v>5.0010000000000006E-2</v>
      </c>
      <c r="K10" s="18">
        <f>$J10+(K$6-$J$6)*C10/100</f>
        <v>0.16670000000000001</v>
      </c>
      <c r="L10" s="18">
        <f>D10/1000</f>
        <v>0.25</v>
      </c>
      <c r="M10" s="18">
        <f t="shared" si="2"/>
        <v>0.33335000000000004</v>
      </c>
      <c r="N10" s="18">
        <f t="shared" si="2"/>
        <v>0.39069480000000001</v>
      </c>
      <c r="O10" s="18">
        <f t="shared" si="0"/>
        <v>0.41670000000000001</v>
      </c>
      <c r="P10" s="18">
        <f t="shared" si="0"/>
        <v>0.50005000000000011</v>
      </c>
      <c r="Q10" s="18">
        <f t="shared" si="0"/>
        <v>0.6000700000000001</v>
      </c>
      <c r="S10" s="19">
        <f>$J10+(L$6-$J$6)*C10/100</f>
        <v>0.25005000000000005</v>
      </c>
    </row>
    <row r="11" spans="1:19" x14ac:dyDescent="0.35">
      <c r="H11" s="20" t="s">
        <v>33</v>
      </c>
      <c r="I11" s="21">
        <f>SUM(I7:I10)</f>
        <v>0</v>
      </c>
      <c r="J11" s="21">
        <f t="shared" ref="J11:Q11" si="3">SUM(J7:J10)</f>
        <v>0.3</v>
      </c>
      <c r="K11" s="21">
        <f t="shared" si="3"/>
        <v>1</v>
      </c>
      <c r="L11" s="21">
        <f t="shared" si="3"/>
        <v>1.5</v>
      </c>
      <c r="M11" s="21">
        <f t="shared" si="3"/>
        <v>2.0000499999999999</v>
      </c>
      <c r="N11" s="21">
        <f t="shared" si="3"/>
        <v>2.3440843999999998</v>
      </c>
      <c r="O11" s="21">
        <f t="shared" si="3"/>
        <v>2.5001000000000002</v>
      </c>
      <c r="P11" s="21">
        <f t="shared" si="3"/>
        <v>3.0001500000000005</v>
      </c>
      <c r="Q11" s="21">
        <f t="shared" si="3"/>
        <v>3.6002100000000006</v>
      </c>
    </row>
    <row r="14" spans="1:19" x14ac:dyDescent="0.35">
      <c r="H14" t="s">
        <v>43</v>
      </c>
    </row>
    <row r="15" spans="1:19" x14ac:dyDescent="0.35">
      <c r="H15" s="13" t="s">
        <v>22</v>
      </c>
      <c r="I15" s="13" t="s">
        <v>21</v>
      </c>
      <c r="J15" s="13"/>
      <c r="K15" s="13"/>
      <c r="L15" s="13"/>
      <c r="M15" s="13"/>
      <c r="N15" s="13"/>
      <c r="O15" s="13"/>
      <c r="P15" s="13"/>
      <c r="Q15" s="13"/>
    </row>
    <row r="16" spans="1:19" x14ac:dyDescent="0.35">
      <c r="H16" s="13"/>
      <c r="I16" s="15">
        <f>I6</f>
        <v>0</v>
      </c>
      <c r="J16" s="15">
        <f t="shared" ref="J16:Q16" si="4">J6</f>
        <v>0.3</v>
      </c>
      <c r="K16" s="15">
        <f t="shared" si="4"/>
        <v>1</v>
      </c>
      <c r="L16" s="15">
        <f t="shared" si="4"/>
        <v>1.5</v>
      </c>
      <c r="M16" s="15">
        <f t="shared" si="4"/>
        <v>2</v>
      </c>
      <c r="N16" s="15">
        <f t="shared" si="4"/>
        <v>2.3439999999999999</v>
      </c>
      <c r="O16" s="15">
        <f t="shared" si="4"/>
        <v>2.5</v>
      </c>
      <c r="P16" s="15">
        <f t="shared" si="4"/>
        <v>3</v>
      </c>
      <c r="Q16" s="15">
        <f t="shared" si="4"/>
        <v>3.6</v>
      </c>
    </row>
    <row r="17" spans="8:19" ht="29" x14ac:dyDescent="0.35">
      <c r="H17" s="22" t="s">
        <v>34</v>
      </c>
      <c r="I17" s="23">
        <f>$S17-I16</f>
        <v>9</v>
      </c>
      <c r="J17" s="23">
        <f t="shared" ref="J17:Q17" si="5">$S17-J16</f>
        <v>8.6999999999999993</v>
      </c>
      <c r="K17" s="23">
        <f t="shared" si="5"/>
        <v>8</v>
      </c>
      <c r="L17" s="23">
        <f t="shared" si="5"/>
        <v>7.5</v>
      </c>
      <c r="M17" s="23">
        <f t="shared" si="5"/>
        <v>7</v>
      </c>
      <c r="N17" s="23">
        <f t="shared" si="5"/>
        <v>6.6560000000000006</v>
      </c>
      <c r="O17" s="23">
        <f t="shared" si="5"/>
        <v>6.5</v>
      </c>
      <c r="P17" s="23">
        <f t="shared" si="5"/>
        <v>6</v>
      </c>
      <c r="Q17" s="23">
        <f t="shared" si="5"/>
        <v>5.4</v>
      </c>
      <c r="S17" s="24">
        <v>9</v>
      </c>
    </row>
    <row r="18" spans="8:19" x14ac:dyDescent="0.35">
      <c r="H18" s="17" t="str">
        <f>H7</f>
        <v>Arizona</v>
      </c>
      <c r="I18" s="18">
        <f>$S18-I7</f>
        <v>2.8</v>
      </c>
      <c r="J18" s="18">
        <f>$S18-J7</f>
        <v>2.5599999999999996</v>
      </c>
      <c r="K18" s="18">
        <f>$S18-K7</f>
        <v>2.2566899999999999</v>
      </c>
      <c r="L18" s="18">
        <f>$S18-L7</f>
        <v>2.04</v>
      </c>
      <c r="M18" s="18">
        <f>$S18-M7</f>
        <v>1.6586999999999998</v>
      </c>
      <c r="N18" s="18">
        <f>$S18-N7</f>
        <v>1.3963655999999998</v>
      </c>
      <c r="O18" s="18">
        <f>$S18-O7</f>
        <v>1.3478495999999998</v>
      </c>
      <c r="P18" s="18">
        <f>$S18-P7</f>
        <v>1.1923495999999998</v>
      </c>
      <c r="Q18" s="18">
        <f>$S18-Q7</f>
        <v>1.0057495999999997</v>
      </c>
      <c r="S18">
        <v>2.8</v>
      </c>
    </row>
    <row r="19" spans="8:19" x14ac:dyDescent="0.35">
      <c r="H19" s="17" t="str">
        <f>H8</f>
        <v>California</v>
      </c>
      <c r="I19" s="18">
        <f>$S19-I8</f>
        <v>4.4000000000000004</v>
      </c>
      <c r="J19" s="18">
        <f>$S19-J8</f>
        <v>4.4000000000000004</v>
      </c>
      <c r="K19" s="18">
        <f>$S19-K8</f>
        <v>4.1433100000000005</v>
      </c>
      <c r="L19" s="18">
        <f>$S19-L8</f>
        <v>3.9600000000000004</v>
      </c>
      <c r="M19" s="18">
        <f>$S19-M8</f>
        <v>3.9600000000000004</v>
      </c>
      <c r="N19" s="18">
        <f>$S19-N8</f>
        <v>3.9600000000000004</v>
      </c>
      <c r="O19" s="18">
        <f>$S19-O8</f>
        <v>3.8895504000000001</v>
      </c>
      <c r="P19" s="18">
        <f>$S19-P8</f>
        <v>3.6637504000000005</v>
      </c>
      <c r="Q19" s="18">
        <f>$S19-Q8</f>
        <v>3.3927904</v>
      </c>
      <c r="S19">
        <v>4.4000000000000004</v>
      </c>
    </row>
    <row r="20" spans="8:19" x14ac:dyDescent="0.35">
      <c r="H20" s="17" t="str">
        <f>H9</f>
        <v>Nevada</v>
      </c>
      <c r="I20" s="18">
        <f>$S20-I9</f>
        <v>0.3</v>
      </c>
      <c r="J20" s="18">
        <f>$S20-J9</f>
        <v>0.29000999999999999</v>
      </c>
      <c r="K20" s="18">
        <f>$S20-K9</f>
        <v>0.26669999999999999</v>
      </c>
      <c r="L20" s="18">
        <f>$S20-L9</f>
        <v>0.25</v>
      </c>
      <c r="M20" s="18">
        <f>$S20-M9</f>
        <v>0.21459999999999999</v>
      </c>
      <c r="N20" s="18">
        <f>$S20-N9</f>
        <v>0.19024479999999999</v>
      </c>
      <c r="O20" s="18">
        <f>$S20-O9</f>
        <v>0.17919999999999997</v>
      </c>
      <c r="P20" s="18">
        <f>$S20-P9</f>
        <v>0.14379999999999998</v>
      </c>
      <c r="Q20" s="18">
        <f>$S20-Q9</f>
        <v>0.10131999999999997</v>
      </c>
      <c r="S20">
        <v>0.3</v>
      </c>
    </row>
    <row r="21" spans="8:19" x14ac:dyDescent="0.35">
      <c r="H21" s="17" t="str">
        <f>H10</f>
        <v>Mexico</v>
      </c>
      <c r="I21" s="18">
        <f>$S21-I10</f>
        <v>1.5</v>
      </c>
      <c r="J21" s="18">
        <f>$S21-J10</f>
        <v>1.4499899999999999</v>
      </c>
      <c r="K21" s="18">
        <f>$S21-K10</f>
        <v>1.3332999999999999</v>
      </c>
      <c r="L21" s="18">
        <f>$S21-L10</f>
        <v>1.25</v>
      </c>
      <c r="M21" s="18">
        <f>$S21-M10</f>
        <v>1.16665</v>
      </c>
      <c r="N21" s="18">
        <f>$S21-N10</f>
        <v>1.1093052000000001</v>
      </c>
      <c r="O21" s="18">
        <f>$S21-O10</f>
        <v>1.0832999999999999</v>
      </c>
      <c r="P21" s="18">
        <f>$S21-P10</f>
        <v>0.99994999999999989</v>
      </c>
      <c r="Q21" s="18">
        <f>$S21-Q10</f>
        <v>0.8999299999999999</v>
      </c>
      <c r="S21">
        <v>1.5</v>
      </c>
    </row>
    <row r="22" spans="8:19" x14ac:dyDescent="0.35">
      <c r="H22" s="20" t="str">
        <f>H11</f>
        <v>Total</v>
      </c>
      <c r="I22" s="21">
        <f>SUM(I18:I21)</f>
        <v>9</v>
      </c>
      <c r="J22" s="21">
        <f t="shared" ref="J22:Q22" si="6">SUM(J18:J21)</f>
        <v>8.6999999999999993</v>
      </c>
      <c r="K22" s="21">
        <f t="shared" si="6"/>
        <v>8</v>
      </c>
      <c r="L22" s="21">
        <f t="shared" si="6"/>
        <v>7.5</v>
      </c>
      <c r="M22" s="21">
        <f t="shared" si="6"/>
        <v>6.9999500000000001</v>
      </c>
      <c r="N22" s="21">
        <f t="shared" si="6"/>
        <v>6.6559156000000002</v>
      </c>
      <c r="O22" s="21">
        <f t="shared" si="6"/>
        <v>6.4999000000000002</v>
      </c>
      <c r="P22" s="21">
        <f t="shared" si="6"/>
        <v>5.9998500000000003</v>
      </c>
      <c r="Q22" s="21">
        <f t="shared" si="6"/>
        <v>5.3997899999999994</v>
      </c>
      <c r="S22" s="25">
        <f>SUM(S18:S21)</f>
        <v>9</v>
      </c>
    </row>
  </sheetData>
  <mergeCells count="4">
    <mergeCell ref="I5:Q5"/>
    <mergeCell ref="H15:H16"/>
    <mergeCell ref="I15:Q15"/>
    <mergeCell ref="A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Table2</vt:lpstr>
      <vt:lpstr>TableA1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Rosenberg</dc:creator>
  <cp:lastModifiedBy>David Rosenberg</cp:lastModifiedBy>
  <dcterms:created xsi:type="dcterms:W3CDTF">2015-06-05T18:17:20Z</dcterms:created>
  <dcterms:modified xsi:type="dcterms:W3CDTF">2026-08-08T05:58:50Z</dcterms:modified>
</cp:coreProperties>
</file>